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èle Suivi DEV FO Rhone alpes" sheetId="1" r:id="rId5"/>
    <sheet state="visible" name="Modèle Suivi DEV GC + FO Mérign" sheetId="2" r:id="rId6"/>
    <sheet state="visible" name="Modèle Suivi DEV GC Rhone Alpes" sheetId="3" r:id="rId7"/>
  </sheets>
  <definedNames/>
  <calcPr/>
</workbook>
</file>

<file path=xl/sharedStrings.xml><?xml version="1.0" encoding="utf-8"?>
<sst xmlns="http://schemas.openxmlformats.org/spreadsheetml/2006/main" count="155" uniqueCount="139">
  <si>
    <t>id_ert</t>
  </si>
  <si>
    <t>Projet</t>
  </si>
  <si>
    <t>Ref Impact</t>
  </si>
  <si>
    <t>ID / U</t>
  </si>
  <si>
    <t>type_d'opération</t>
  </si>
  <si>
    <t>etat</t>
  </si>
  <si>
    <t>détails_de_l_opération</t>
  </si>
  <si>
    <t>acteurs CDT</t>
  </si>
  <si>
    <t>Etat d'avancements suite à réunion</t>
  </si>
  <si>
    <t>nbr_cables</t>
  </si>
  <si>
    <t>Infra</t>
  </si>
  <si>
    <t>date_d'intervention_à_priviligier</t>
  </si>
  <si>
    <t>delais_avant_intervention</t>
  </si>
  <si>
    <t>date_debut_intervention</t>
  </si>
  <si>
    <t>date_fin_intervention</t>
  </si>
  <si>
    <t>delais_intervention</t>
  </si>
  <si>
    <t>date_limite_réalisation (OPC)</t>
  </si>
  <si>
    <t>liste_des_cables</t>
  </si>
  <si>
    <t>Synthèses d'impact</t>
  </si>
  <si>
    <t>commentaire</t>
  </si>
  <si>
    <t>Date_envoi_POIV-BB_demande_DOE</t>
  </si>
  <si>
    <t>Etat_DOE_GMAO_NETWORKS/COROLLE</t>
  </si>
  <si>
    <t>Date_livraison_BE_DOE</t>
  </si>
  <si>
    <t>Cmd_FCI</t>
  </si>
  <si>
    <t>date_retour_travaux</t>
  </si>
  <si>
    <t>STIT</t>
  </si>
  <si>
    <t>Date_attach_STIT</t>
  </si>
  <si>
    <t>Retour_Photos/REC-BPE/Papier</t>
  </si>
  <si>
    <t>Commentaire</t>
  </si>
  <si>
    <t>etat_financier</t>
  </si>
  <si>
    <t>destinataire_devis</t>
  </si>
  <si>
    <t>date_edition_devis</t>
  </si>
  <si>
    <t>numéro_de_devis</t>
  </si>
  <si>
    <t>montant_devis</t>
  </si>
  <si>
    <t>N°Commande SFR</t>
  </si>
  <si>
    <t>Date Réception Cmd SFR</t>
  </si>
  <si>
    <t>Etat_Facturation</t>
  </si>
  <si>
    <t>Etat d'avancements suite à point avec DBA</t>
  </si>
  <si>
    <t>Numero d'Odéon</t>
  </si>
  <si>
    <t>cout_moyen par cables</t>
  </si>
  <si>
    <t>mois_date_d'intervention_à_priviligier</t>
  </si>
  <si>
    <t>AA</t>
  </si>
  <si>
    <t>id_215</t>
  </si>
  <si>
    <t>T9</t>
  </si>
  <si>
    <t>BCL FRT 1 : Poudrette - Canut</t>
  </si>
  <si>
    <t>CABLAGE_CPTL</t>
  </si>
  <si>
    <t>doe_terminé</t>
  </si>
  <si>
    <t>N°REF</t>
  </si>
  <si>
    <t>HAKIM</t>
  </si>
  <si>
    <t>06/02/2025 : En cours de travaux, semaine prochaine migration // 23/01/2025 : Intervention Odéon du 10 au 11 // 08/01/2025 : Attente BDC</t>
  </si>
  <si>
    <t>Nom Affaire</t>
  </si>
  <si>
    <t>INDEX</t>
  </si>
  <si>
    <t>CDP</t>
  </si>
  <si>
    <t>Orange</t>
  </si>
  <si>
    <t>30/10/2024</t>
  </si>
  <si>
    <t>Conducteur de Travaux</t>
  </si>
  <si>
    <t>Adresse</t>
  </si>
  <si>
    <t>date_depassée</t>
  </si>
  <si>
    <t>Lien Dossier Serveur</t>
  </si>
  <si>
    <t>Priorité</t>
  </si>
  <si>
    <t>Étude</t>
  </si>
  <si>
    <t>GC</t>
  </si>
  <si>
    <t>Optique</t>
  </si>
  <si>
    <t>Dernière Action</t>
  </si>
  <si>
    <t>31/01/2025</t>
  </si>
  <si>
    <t>Ø CPTL_F-ES1B-6790/CPTL_69_VIL-7486-FT - BPE 1
 Ø CPTL_69_VIL-7486-FT - BPE 1/ADAPEI</t>
  </si>
  <si>
    <t>Prochaine Action</t>
  </si>
  <si>
    <t>ORDRE</t>
  </si>
  <si>
    <t>24/02/2025</t>
  </si>
  <si>
    <t>VALIDATION_DOE</t>
  </si>
  <si>
    <t>Semaine Cible</t>
  </si>
  <si>
    <t>Date Livraison Prévue</t>
  </si>
  <si>
    <t>Blocage</t>
  </si>
  <si>
    <t>F41484280225</t>
  </si>
  <si>
    <t>BDC</t>
  </si>
  <si>
    <t>06-févr</t>
  </si>
  <si>
    <t>programme</t>
  </si>
  <si>
    <t>Kycom</t>
  </si>
  <si>
    <t>DOE</t>
  </si>
  <si>
    <t>OK</t>
  </si>
  <si>
    <t>N° Devis</t>
  </si>
  <si>
    <t>* Pas de REC BPE</t>
  </si>
  <si>
    <t>Montant Devis HT</t>
  </si>
  <si>
    <t>CMD_RECU</t>
  </si>
  <si>
    <t>N° Commande</t>
  </si>
  <si>
    <t>Montant BDC HT</t>
  </si>
  <si>
    <t>nom_gc</t>
  </si>
  <si>
    <t>Montant Attachement HT</t>
  </si>
  <si>
    <t>MOULAGER</t>
  </si>
  <si>
    <t>23/12/2024</t>
  </si>
  <si>
    <t>DEV_RAL_24_AKH_4937</t>
  </si>
  <si>
    <t>2 856.86 €</t>
  </si>
  <si>
    <t>Montant Facturé HT</t>
  </si>
  <si>
    <t>SOLDEE</t>
  </si>
  <si>
    <t>03/04/2025 : SOLDEE // 28/02/2025 : Début de semaine envoi DOE -- Relance mercredi prochain pour le DOE</t>
  </si>
  <si>
    <t>type_opération</t>
  </si>
  <si>
    <t>FTTH : 15936926 001 / 538 
 CPTL : 15936887 001 / 382</t>
  </si>
  <si>
    <t>1 428.43 €</t>
  </si>
  <si>
    <t>INFRA</t>
  </si>
  <si>
    <t>date_debut</t>
  </si>
  <si>
    <t>Commentaires</t>
  </si>
  <si>
    <t>date_fin</t>
  </si>
  <si>
    <t>STATUT</t>
  </si>
  <si>
    <t>U544610 PRINCIPAL</t>
  </si>
  <si>
    <t>délai (J)</t>
  </si>
  <si>
    <t>date_demolition_ancienne_infra</t>
  </si>
  <si>
    <t>SFR - U544610 - MOOVEO</t>
  </si>
  <si>
    <t>DT
 LYVIA
 PP
 ODEON</t>
  </si>
  <si>
    <t>Lg</t>
  </si>
  <si>
    <t>Montant
 Commande</t>
  </si>
  <si>
    <t>ID_014</t>
  </si>
  <si>
    <t>Cedric Druart</t>
  </si>
  <si>
    <t>Duperron Dimitri</t>
  </si>
  <si>
    <t>LIMOGES</t>
  </si>
  <si>
    <t>S:\DEVOIEMENT\00 - DEVOIEMENT 2026\03 - BEX LIMOGES\SFR - U544610 - MOOVEO</t>
  </si>
  <si>
    <t>T10</t>
  </si>
  <si>
    <t>FRONT_4_0_Combats_gare_venissieux (U425078)</t>
  </si>
  <si>
    <t>Normale</t>
  </si>
  <si>
    <t>En cours</t>
  </si>
  <si>
    <t>SFR</t>
  </si>
  <si>
    <t>À faire</t>
  </si>
  <si>
    <t>19/02/2024</t>
  </si>
  <si>
    <t>19/04/2024</t>
  </si>
  <si>
    <t>RECU</t>
  </si>
  <si>
    <t>étude en cours</t>
  </si>
  <si>
    <t>DT : 2024013002680D26
 LYVIA : 202401294
 PP : Fait le 15/02/2024
 REF SFR : NSFR01_69AA_T149</t>
  </si>
  <si>
    <t>S40</t>
  </si>
  <si>
    <t>Aucun blocage</t>
  </si>
  <si>
    <t>ID_063</t>
  </si>
  <si>
    <t>Reçu</t>
  </si>
  <si>
    <t>DEV_SOA_26_PJO_1184_A</t>
  </si>
  <si>
    <t>VL4OTR7</t>
  </si>
  <si>
    <t>U528707_SFR04_Chambre K2C à mettre à la côte</t>
  </si>
  <si>
    <t xml:space="preserve">[07/08/2026] : Analyse simplifiée avec Dashboard OK &gt;&gt; Répartission des différents U &amp; ID à demander par la suite // Prochaine Action : Réalisation du projet QGIS / QField
[22/07/2026] : Demande SFR contact MOE &gt;&gt; Recherche en cours (SFR) // Non possibilité d'être à la réunion Mercredi Matin &gt;&gt; Conflit avec Réunion Tramway T8
[16/07/2026] : Analyse Conflits avec Victor en cours &gt;&gt; Lancement des 1ères demandes ID &amp; U
[15/07/2026] : Demande CDP SFR pour récupérer DWG Nettoyer &gt;&gt; Meilleur Efficacité d'Exploitation + Demande contact MOE
[10/07/2026] : Visualisation DWG, trop de latences &gt;&gt; Problèmes trouvés, transmissions d'info à SFR
[06/07/2026] : Demande à la CARTO SFR, archive infra groupe SFR (format DWG + PDF) sur AXIS via modélisation de l’emprise selon TOPO existante du projet, visualisation du projet dans sa globalité </t>
  </si>
  <si>
    <t>CPTL</t>
  </si>
  <si>
    <t>13/04/2026</t>
  </si>
  <si>
    <t>EN COURS</t>
  </si>
  <si>
    <t>DT : 2026032604881DBF (old: 2026021903581D85)
 LYVIA (Généré par MOE) : 202506334
 ODEON à faire : 17078993 003 / 082</t>
  </si>
  <si>
    <t>19 478.50€
 4700647198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</si>
</sst>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mm/yyyy"/>
    <numFmt numFmtId="166" formatCode="dd/mm/yyyy"/>
  </numFmts>
  <fonts count="14">
    <font>
      <sz val="10.0"/>
      <color rgb="FF000000"/>
      <name val="Arial"/>
      <scheme val="minor"/>
    </font>
    <font>
      <sz val="11.0"/>
      <color rgb="FFFFFFFF"/>
      <name val="Arial"/>
      <scheme val="minor"/>
    </font>
    <font>
      <sz val="11.0"/>
      <color theme="1"/>
      <name val="Arial"/>
      <scheme val="minor"/>
    </font>
    <font>
      <b/>
      <sz val="11.0"/>
      <color rgb="FFFF0000"/>
      <name val="Arial"/>
      <scheme val="minor"/>
    </font>
    <font>
      <b/>
      <sz val="11.0"/>
      <color rgb="FFFFFFFF"/>
      <name val="Calibri"/>
    </font>
    <font>
      <sz val="11.0"/>
      <color rgb="FFED7D31"/>
      <name val="Arial"/>
      <scheme val="minor"/>
    </font>
    <font>
      <sz val="11.0"/>
      <color rgb="FFFF0000"/>
      <name val="Arial"/>
      <scheme val="minor"/>
    </font>
    <font>
      <b/>
      <sz val="8.0"/>
      <color theme="1"/>
      <name val="Calibri"/>
    </font>
    <font>
      <b/>
      <sz val="11.0"/>
      <color theme="1"/>
      <name val="Arial"/>
      <scheme val="minor"/>
    </font>
    <font>
      <b/>
      <sz val="9.0"/>
      <color theme="1"/>
      <name val="Calibri"/>
    </font>
    <font>
      <sz val="11.0"/>
      <color theme="1"/>
      <name val="Calibri"/>
    </font>
    <font>
      <sz val="6.0"/>
      <color rgb="FF000000"/>
      <name val="Calibri"/>
    </font>
    <font>
      <color rgb="FF000000"/>
      <name val="Calibri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ED7D31"/>
        <bgColor rgb="FFED7D31"/>
      </patternFill>
    </fill>
    <fill>
      <patternFill patternType="solid">
        <fgColor rgb="FFFF0000"/>
        <bgColor rgb="FFFF0000"/>
      </patternFill>
    </fill>
    <fill>
      <patternFill patternType="solid">
        <fgColor rgb="FFA9D08E"/>
        <bgColor rgb="FFA9D08E"/>
      </patternFill>
    </fill>
    <fill>
      <patternFill patternType="solid">
        <fgColor rgb="FFFFCC66"/>
        <bgColor rgb="FFFFCC66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 shrinkToFit="0" wrapText="0"/>
    </xf>
    <xf borderId="0" fillId="6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2" fillId="7" fontId="3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7" fontId="2" numFmtId="0" xfId="0" applyAlignment="1" applyBorder="1" applyFill="1" applyFont="1">
      <alignment horizontal="center"/>
    </xf>
    <xf borderId="3" fillId="8" fontId="4" numFmtId="0" xfId="0" applyAlignment="1" applyBorder="1" applyFill="1" applyFont="1">
      <alignment horizontal="center" shrinkToFit="0" wrapText="1"/>
    </xf>
    <xf borderId="1" fillId="7" fontId="2" numFmtId="0" xfId="0" applyAlignment="1" applyBorder="1" applyFill="1" applyFont="1">
      <alignment horizontal="center" readingOrder="0" shrinkToFit="0" wrapText="0"/>
    </xf>
    <xf borderId="1" fillId="7" fontId="5" numFmtId="0" xfId="0" applyAlignment="1" applyBorder="1" applyFill="1" applyFont="1">
      <alignment horizontal="center" readingOrder="0"/>
    </xf>
    <xf borderId="1" fillId="7" fontId="6" numFmtId="164" xfId="0" applyAlignment="1" applyBorder="1" applyFill="1" applyFont="1" applyNumberForma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readingOrder="0" shrinkToFit="0" vertical="center" wrapText="0"/>
    </xf>
    <xf borderId="1" fillId="7" fontId="2" numFmtId="164" xfId="0" applyAlignment="1" applyBorder="1" applyFill="1" applyFont="1" applyNumberFormat="1">
      <alignment horizontal="center" readingOrder="0"/>
    </xf>
    <xf borderId="0" fillId="0" fontId="7" numFmtId="0" xfId="0" applyAlignment="1" applyFont="1">
      <alignment horizontal="center" readingOrder="0" shrinkToFit="0" vertical="center" wrapText="0"/>
    </xf>
    <xf borderId="2" fillId="7" fontId="2" numFmtId="0" xfId="0" applyAlignment="1" applyBorder="1" applyFill="1" applyFont="1">
      <alignment horizontal="center" readingOrder="0"/>
    </xf>
    <xf borderId="4" fillId="8" fontId="4" numFmtId="0" xfId="0" applyAlignment="1" applyBorder="1" applyFill="1" applyFont="1">
      <alignment horizontal="center" shrinkToFit="0" wrapText="1"/>
    </xf>
    <xf borderId="1" fillId="7" fontId="8" numFmtId="0" xfId="0" applyAlignment="1" applyBorder="1" applyFill="1" applyFont="1">
      <alignment horizontal="center" readingOrder="0"/>
    </xf>
    <xf borderId="0" fillId="0" fontId="9" numFmtId="0" xfId="0" applyAlignment="1" applyFont="1">
      <alignment horizontal="center" readingOrder="0" shrinkToFit="0" vertical="center" wrapText="0"/>
    </xf>
    <xf borderId="2" fillId="7" fontId="2" numFmtId="165" xfId="0" applyAlignment="1" applyBorder="1" applyFill="1" applyFont="1" applyNumberFormat="1">
      <alignment horizontal="center" readingOrder="0"/>
    </xf>
    <xf borderId="0" fillId="8" fontId="4" numFmtId="0" xfId="0" applyAlignment="1" applyFill="1" applyFont="1">
      <alignment horizontal="center" shrinkToFit="0" wrapText="0"/>
    </xf>
    <xf borderId="0" fillId="9" fontId="10" numFmtId="0" xfId="0" applyAlignment="1" applyFill="1" applyFont="1">
      <alignment shrinkToFit="0" wrapText="0"/>
    </xf>
    <xf borderId="0" fillId="0" fontId="11" numFmtId="0" xfId="0" applyAlignment="1" applyFont="1">
      <alignment horizontal="center" readingOrder="0" shrinkToFit="0" vertical="center" wrapText="0"/>
    </xf>
    <xf borderId="5" fillId="0" fontId="12" numFmtId="0" xfId="0" applyAlignment="1" applyBorder="1" applyFont="1">
      <alignment horizontal="center" readingOrder="0" shrinkToFit="0" vertical="center" wrapText="0"/>
    </xf>
    <xf borderId="5" fillId="0" fontId="12" numFmtId="0" xfId="0" applyAlignment="1" applyBorder="1" applyFont="1">
      <alignment horizontal="center" readingOrder="0" shrinkToFit="0" vertical="center" wrapText="0"/>
    </xf>
    <xf borderId="5" fillId="0" fontId="12" numFmtId="0" xfId="0" applyAlignment="1" applyBorder="1" applyFont="1">
      <alignment horizontal="center" shrinkToFit="0" vertical="center" wrapText="0"/>
    </xf>
    <xf borderId="3" fillId="9" fontId="10" numFmtId="0" xfId="0" applyAlignment="1" applyBorder="1" applyFill="1" applyFont="1">
      <alignment shrinkToFit="0" wrapText="1"/>
    </xf>
    <xf borderId="5" fillId="0" fontId="12" numFmtId="0" xfId="0" applyAlignment="1" applyBorder="1" applyFont="1">
      <alignment horizontal="center" readingOrder="0" shrinkToFit="0" vertical="top" wrapText="0"/>
    </xf>
    <xf borderId="0" fillId="9" fontId="10" numFmtId="166" xfId="0" applyAlignment="1" applyFill="1" applyFont="1" applyNumberFormat="1">
      <alignment horizontal="right" shrinkToFit="0" wrapText="0"/>
    </xf>
    <xf borderId="6" fillId="9" fontId="13" numFmtId="0" xfId="0" applyAlignment="1" applyBorder="1" applyFill="1" applyFont="1">
      <alignment vertical="bottom"/>
    </xf>
    <xf borderId="0" fillId="9" fontId="10" numFmtId="0" xfId="0" applyFill="1" applyFont="1"/>
    <xf borderId="0" fillId="0" fontId="10" numFmtId="0" xfId="0" applyAlignment="1" applyFont="1">
      <alignment shrinkToFit="0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3" pivot="0" name="Modèle Suivi DEV GC + FO Mérign-style">
      <tableStyleElement dxfId="1" type="headerRow"/>
      <tableStyleElement dxfId="2" type="firstRowStripe"/>
      <tableStyleElement dxfId="3" type="secondRowStripe"/>
    </tableStyle>
    <tableStyle count="4" pivot="0" name="Modèle Suivi DEV GC Rhone Alpes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2" displayName="Table_1" name="Table_1" id="1">
  <tableColumns count="25">
    <tableColumn name="N°REF" id="1"/>
    <tableColumn name="Nom Affaire" id="2"/>
    <tableColumn name="CDP" id="3"/>
    <tableColumn name="Conducteur de Travaux" id="4"/>
    <tableColumn name="Adresse" id="5"/>
    <tableColumn name="Lien Dossier Serveur" id="6"/>
    <tableColumn name="Priorité" id="7"/>
    <tableColumn name="Étude" id="8"/>
    <tableColumn name="GC" id="9"/>
    <tableColumn name="Optique" id="10"/>
    <tableColumn name="Dernière Action" id="11"/>
    <tableColumn name="Prochaine Action" id="12"/>
    <tableColumn name="Semaine Cible" id="13"/>
    <tableColumn name="Date Livraison Prévue" id="14"/>
    <tableColumn name="Blocage" id="15"/>
    <tableColumn name="BDC" id="16"/>
    <tableColumn name="DOE" id="17"/>
    <tableColumn name="N° Devis" id="18"/>
    <tableColumn name="Montant Devis HT" id="19"/>
    <tableColumn name="N° Commande" id="20"/>
    <tableColumn name="Montant BDC HT" id="21"/>
    <tableColumn name="Montant Attachement HT" id="22"/>
    <tableColumn name="Montant Facturé HT" id="23"/>
    <tableColumn name="Commentaires" id="24"/>
    <tableColumn name="STATUT" id="25"/>
  </tableColumns>
  <tableStyleInfo name="Modèle Suivi DEV GC + FO Mérign-style" showColumnStripes="0" showFirstColumn="1" showLastColumn="1" showRowStripes="1"/>
</table>
</file>

<file path=xl/tables/table2.xml><?xml version="1.0" encoding="utf-8"?>
<table xmlns="http://schemas.openxmlformats.org/spreadsheetml/2006/main" ref="A1:M3" displayName="Table1" name="Table1" id="2">
  <tableColumns count="13">
    <tableColumn name="INDEX" id="1"/>
    <tableColumn name="ORDRE" id="2"/>
    <tableColumn name="programme" id="3"/>
    <tableColumn name="nom_gc" id="4"/>
    <tableColumn name="type_opération" id="5"/>
    <tableColumn name="INFRA" id="6"/>
    <tableColumn name="date_debut" id="7"/>
    <tableColumn name="date_fin" id="8"/>
    <tableColumn name="délai (J)" id="9"/>
    <tableColumn name="date_demolition_ancienne_infra" id="10"/>
    <tableColumn name="DT_x000a_ LYVIA_x000a_ PP_x000a_ ODEON" id="11"/>
    <tableColumn name="Lg" id="12"/>
    <tableColumn name="Montant_x000a_ Commande" id="13"/>
  </tableColumns>
  <tableStyleInfo name="Modèle Suivi DEV GC Rhone Alp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5.75"/>
    <col customWidth="1" min="3" max="3" width="26.13"/>
    <col customWidth="1" min="4" max="4" width="7.13"/>
    <col customWidth="1" min="5" max="5" width="15.38"/>
    <col customWidth="1" min="6" max="6" width="11.13"/>
    <col customWidth="1" min="7" max="7" width="19.5"/>
    <col customWidth="1" min="8" max="8" width="11.25"/>
    <col customWidth="1" min="9" max="9" width="113.88"/>
    <col customWidth="1" min="10" max="10" width="10.0"/>
    <col customWidth="1" min="11" max="11" width="7.13"/>
    <col customWidth="1" min="12" max="12" width="26.75"/>
    <col customWidth="1" min="13" max="13" width="21.75"/>
    <col customWidth="1" min="14" max="14" width="20.63"/>
    <col customWidth="1" min="15" max="15" width="18.0"/>
    <col customWidth="1" min="16" max="16" width="16.25"/>
    <col customWidth="1" min="17" max="17" width="24.88"/>
    <col customWidth="1" min="18" max="18" width="46.13"/>
    <col customWidth="1" min="19" max="19" width="16.88"/>
    <col customWidth="1" min="20" max="20" width="11.63"/>
    <col customWidth="1" min="21" max="21" width="32.25"/>
    <col customWidth="1" min="22" max="22" width="36.75"/>
    <col customWidth="1" min="23" max="23" width="21.13"/>
    <col customWidth="1" min="24" max="24" width="13.38"/>
    <col customWidth="1" min="25" max="25" width="17.38"/>
    <col customWidth="1" min="26" max="26" width="6.63"/>
    <col customWidth="1" min="27" max="27" width="15.88"/>
    <col customWidth="1" min="28" max="28" width="27.63"/>
    <col customWidth="1" min="29" max="29" width="16.5"/>
    <col customWidth="1" min="30" max="30" width="12.0"/>
    <col customWidth="1" min="31" max="31" width="15.75"/>
    <col customWidth="1" min="32" max="32" width="16.25"/>
    <col customWidth="1" min="33" max="33" width="22.25"/>
    <col customWidth="1" min="34" max="34" width="12.88"/>
    <col customWidth="1" min="35" max="35" width="16.75"/>
    <col customWidth="1" min="36" max="36" width="22.13"/>
    <col customWidth="1" min="37" max="37" width="14.5"/>
    <col customWidth="1" min="38" max="38" width="90.88"/>
    <col customWidth="1" min="39" max="39" width="24.25"/>
    <col customWidth="1" min="40" max="40" width="20.0"/>
    <col customWidth="1" min="41" max="41" width="31.63"/>
    <col customWidth="1" min="42" max="53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9" t="s">
        <v>39</v>
      </c>
      <c r="AO1" s="9" t="s">
        <v>40</v>
      </c>
      <c r="AP1" s="10" t="s">
        <v>41</v>
      </c>
      <c r="AQ1" s="10" t="s">
        <v>41</v>
      </c>
      <c r="AR1" s="10" t="s">
        <v>41</v>
      </c>
      <c r="AS1" s="10" t="s">
        <v>41</v>
      </c>
      <c r="AT1" s="10" t="s">
        <v>41</v>
      </c>
      <c r="AU1" s="10" t="s">
        <v>41</v>
      </c>
      <c r="AV1" s="10" t="s">
        <v>41</v>
      </c>
      <c r="AW1" s="10" t="s">
        <v>41</v>
      </c>
      <c r="AX1" s="10" t="s">
        <v>41</v>
      </c>
      <c r="AY1" s="10" t="s">
        <v>41</v>
      </c>
      <c r="AZ1" s="10" t="s">
        <v>41</v>
      </c>
      <c r="BA1" s="10" t="s">
        <v>41</v>
      </c>
    </row>
    <row r="2">
      <c r="A2" s="11" t="s">
        <v>42</v>
      </c>
      <c r="B2" s="11" t="s">
        <v>43</v>
      </c>
      <c r="C2" s="11" t="s">
        <v>44</v>
      </c>
      <c r="D2" s="12">
        <v>458648.0</v>
      </c>
      <c r="E2" s="13" t="s">
        <v>45</v>
      </c>
      <c r="F2" s="11" t="s">
        <v>46</v>
      </c>
      <c r="G2" s="14"/>
      <c r="H2" s="11" t="s">
        <v>48</v>
      </c>
      <c r="I2" s="16" t="s">
        <v>49</v>
      </c>
      <c r="J2" s="11">
        <v>2.0</v>
      </c>
      <c r="K2" s="11" t="s">
        <v>53</v>
      </c>
      <c r="L2" s="17" t="s">
        <v>54</v>
      </c>
      <c r="M2" s="11" t="s">
        <v>57</v>
      </c>
      <c r="N2" s="18">
        <v>45963.0</v>
      </c>
      <c r="O2" s="18">
        <v>45993.0</v>
      </c>
      <c r="P2" s="19">
        <v>2.0</v>
      </c>
      <c r="Q2" s="11" t="s">
        <v>64</v>
      </c>
      <c r="R2" s="11" t="s">
        <v>65</v>
      </c>
      <c r="S2" s="14"/>
      <c r="T2" s="14"/>
      <c r="U2" s="11" t="s">
        <v>68</v>
      </c>
      <c r="V2" s="11" t="s">
        <v>69</v>
      </c>
      <c r="W2" s="21">
        <v>45933.0</v>
      </c>
      <c r="X2" s="11" t="s">
        <v>73</v>
      </c>
      <c r="Y2" s="11" t="s">
        <v>75</v>
      </c>
      <c r="Z2" s="11" t="s">
        <v>77</v>
      </c>
      <c r="AA2" s="21">
        <v>45933.0</v>
      </c>
      <c r="AB2" s="11" t="s">
        <v>79</v>
      </c>
      <c r="AC2" s="11" t="s">
        <v>81</v>
      </c>
      <c r="AD2" s="23" t="s">
        <v>83</v>
      </c>
      <c r="AE2" s="11" t="s">
        <v>88</v>
      </c>
      <c r="AF2" s="11" t="s">
        <v>89</v>
      </c>
      <c r="AG2" s="11" t="s">
        <v>90</v>
      </c>
      <c r="AH2" s="11" t="s">
        <v>91</v>
      </c>
      <c r="AI2" s="11">
        <v>4.700595437E9</v>
      </c>
      <c r="AJ2" s="21">
        <v>45779.0</v>
      </c>
      <c r="AK2" s="11" t="s">
        <v>93</v>
      </c>
      <c r="AL2" s="11" t="s">
        <v>94</v>
      </c>
      <c r="AM2" s="25" t="s">
        <v>96</v>
      </c>
      <c r="AN2" s="23" t="s">
        <v>97</v>
      </c>
      <c r="AO2" s="27">
        <v>45566.0</v>
      </c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47</v>
      </c>
      <c r="B1" s="15" t="s">
        <v>50</v>
      </c>
      <c r="C1" s="15" t="s">
        <v>52</v>
      </c>
      <c r="D1" s="15" t="s">
        <v>55</v>
      </c>
      <c r="E1" s="15" t="s">
        <v>56</v>
      </c>
      <c r="F1" s="15" t="s">
        <v>58</v>
      </c>
      <c r="G1" s="15" t="s">
        <v>59</v>
      </c>
      <c r="H1" s="15" t="s">
        <v>60</v>
      </c>
      <c r="I1" s="15" t="s">
        <v>61</v>
      </c>
      <c r="J1" s="15" t="s">
        <v>62</v>
      </c>
      <c r="K1" s="15" t="s">
        <v>63</v>
      </c>
      <c r="L1" s="15" t="s">
        <v>66</v>
      </c>
      <c r="M1" s="15" t="s">
        <v>70</v>
      </c>
      <c r="N1" s="15" t="s">
        <v>71</v>
      </c>
      <c r="O1" s="15" t="s">
        <v>72</v>
      </c>
      <c r="P1" s="15" t="s">
        <v>74</v>
      </c>
      <c r="Q1" s="15" t="s">
        <v>78</v>
      </c>
      <c r="R1" s="15" t="s">
        <v>80</v>
      </c>
      <c r="S1" s="15" t="s">
        <v>82</v>
      </c>
      <c r="T1" s="15" t="s">
        <v>84</v>
      </c>
      <c r="U1" s="15" t="s">
        <v>85</v>
      </c>
      <c r="V1" s="15" t="s">
        <v>87</v>
      </c>
      <c r="W1" s="24" t="s">
        <v>92</v>
      </c>
      <c r="X1" s="28" t="s">
        <v>100</v>
      </c>
      <c r="Y1" s="28" t="s">
        <v>102</v>
      </c>
    </row>
    <row r="2">
      <c r="A2" s="29" t="s">
        <v>103</v>
      </c>
      <c r="B2" s="29" t="s">
        <v>106</v>
      </c>
      <c r="C2" s="29" t="s">
        <v>111</v>
      </c>
      <c r="D2" s="29" t="s">
        <v>112</v>
      </c>
      <c r="E2" s="29" t="s">
        <v>113</v>
      </c>
      <c r="F2" s="29" t="s">
        <v>114</v>
      </c>
      <c r="G2" s="29" t="s">
        <v>117</v>
      </c>
      <c r="H2" s="29" t="s">
        <v>118</v>
      </c>
      <c r="I2" s="29" t="s">
        <v>120</v>
      </c>
      <c r="J2" s="29" t="s">
        <v>120</v>
      </c>
      <c r="K2" s="29" t="s">
        <v>123</v>
      </c>
      <c r="L2" s="29" t="s">
        <v>124</v>
      </c>
      <c r="M2" s="34" t="s">
        <v>126</v>
      </c>
      <c r="N2" s="36">
        <v>47484.0</v>
      </c>
      <c r="O2" s="29" t="s">
        <v>127</v>
      </c>
      <c r="P2" s="29" t="s">
        <v>129</v>
      </c>
      <c r="Q2" s="29" t="s">
        <v>120</v>
      </c>
      <c r="R2" s="37" t="s">
        <v>130</v>
      </c>
      <c r="S2" s="38"/>
      <c r="T2" s="37">
        <v>4.700669058E9</v>
      </c>
      <c r="U2" s="38"/>
      <c r="V2" s="38"/>
      <c r="W2" s="38"/>
      <c r="X2" s="29" t="s">
        <v>133</v>
      </c>
      <c r="Y2" s="39" t="s">
        <v>136</v>
      </c>
    </row>
  </sheetData>
  <dataValidations>
    <dataValidation type="list" allowBlank="1" sqref="G2">
      <formula1>#REF!</formula1>
    </dataValidation>
    <dataValidation type="list" allowBlank="1" sqref="K2">
      <formula1>#REF!</formula1>
    </dataValidation>
    <dataValidation type="list" allowBlank="1" sqref="Q2">
      <formula1>#REF!</formula1>
    </dataValidation>
    <dataValidation type="list" allowBlank="1" sqref="O2">
      <formula1>#REF!</formula1>
    </dataValidation>
    <dataValidation type="list" allowBlank="1" sqref="C2">
      <formula1>#REF!</formula1>
    </dataValidation>
    <dataValidation type="list" allowBlank="1" sqref="H2:J2">
      <formula1>#REF!</formula1>
    </dataValidation>
    <dataValidation type="list" allowBlank="1" sqref="D2">
      <formula1>#REF!</formula1>
    </dataValidation>
    <dataValidation type="list" allowBlank="1" sqref="L2">
      <formula1>#REF!</formula1>
    </dataValidation>
    <dataValidation type="list" allowBlank="1" sqref="M2">
      <formula1>#REF!</formula1>
    </dataValidation>
    <dataValidation type="list" allowBlank="1" showErrorMessage="1" sqref="Y2">
      <formula1>"EN COURS,TERMINE,ANNULE,EN ATTENTE"</formula1>
    </dataValidation>
    <dataValidation type="list" allowBlank="1" sqref="P2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4.75"/>
    <col customWidth="1" min="3" max="3" width="12.0"/>
    <col customWidth="1" min="4" max="4" width="36.13"/>
    <col customWidth="1" min="5" max="5" width="15.13"/>
    <col customWidth="1" min="6" max="6" width="5.5"/>
    <col customWidth="1" min="7" max="7" width="11.88"/>
    <col customWidth="1" min="8" max="8" width="10.25"/>
    <col customWidth="1" min="9" max="9" width="5.13"/>
    <col customWidth="1" min="10" max="10" width="23.63"/>
    <col customWidth="1" min="11" max="11" width="37.0"/>
    <col customWidth="1" min="12" max="12" width="4.75"/>
    <col customWidth="1" min="13" max="13" width="12.13"/>
  </cols>
  <sheetData>
    <row r="1" ht="22.5" customHeight="1">
      <c r="A1" s="20" t="s">
        <v>51</v>
      </c>
      <c r="B1" s="20" t="s">
        <v>67</v>
      </c>
      <c r="C1" s="22" t="s">
        <v>76</v>
      </c>
      <c r="D1" s="22" t="s">
        <v>86</v>
      </c>
      <c r="E1" s="26" t="s">
        <v>95</v>
      </c>
      <c r="F1" s="20" t="s">
        <v>98</v>
      </c>
      <c r="G1" s="22" t="s">
        <v>99</v>
      </c>
      <c r="H1" s="22" t="s">
        <v>101</v>
      </c>
      <c r="I1" s="22" t="s">
        <v>104</v>
      </c>
      <c r="J1" s="22" t="s">
        <v>105</v>
      </c>
      <c r="K1" s="22" t="s">
        <v>107</v>
      </c>
      <c r="L1" s="22" t="s">
        <v>108</v>
      </c>
      <c r="M1" s="22" t="s">
        <v>109</v>
      </c>
    </row>
    <row r="2" ht="22.5" customHeight="1">
      <c r="A2" s="30" t="s">
        <v>110</v>
      </c>
      <c r="B2" s="31">
        <v>4.0</v>
      </c>
      <c r="C2" s="31" t="s">
        <v>115</v>
      </c>
      <c r="D2" s="32" t="s">
        <v>116</v>
      </c>
      <c r="E2" s="32" t="s">
        <v>61</v>
      </c>
      <c r="F2" s="31" t="s">
        <v>119</v>
      </c>
      <c r="G2" s="31" t="s">
        <v>121</v>
      </c>
      <c r="H2" s="31" t="s">
        <v>122</v>
      </c>
      <c r="I2" s="31">
        <v>61.0</v>
      </c>
      <c r="J2" s="33"/>
      <c r="K2" s="35" t="s">
        <v>125</v>
      </c>
      <c r="L2" s="31">
        <v>144.0</v>
      </c>
      <c r="M2" s="31">
        <v>4.700534444E9</v>
      </c>
    </row>
    <row r="3" ht="22.5" customHeight="1">
      <c r="A3" s="30" t="s">
        <v>128</v>
      </c>
      <c r="B3" s="31">
        <v>3.0</v>
      </c>
      <c r="C3" s="31" t="s">
        <v>131</v>
      </c>
      <c r="D3" s="32" t="s">
        <v>132</v>
      </c>
      <c r="E3" s="32" t="s">
        <v>61</v>
      </c>
      <c r="F3" s="31" t="s">
        <v>134</v>
      </c>
      <c r="G3" s="31" t="s">
        <v>135</v>
      </c>
      <c r="H3" s="31" t="s">
        <v>135</v>
      </c>
      <c r="I3" s="31">
        <v>1.0</v>
      </c>
      <c r="J3" s="33"/>
      <c r="K3" s="35" t="s">
        <v>137</v>
      </c>
      <c r="L3" s="33"/>
      <c r="M3" s="32" t="s">
        <v>138</v>
      </c>
    </row>
  </sheetData>
  <drawing r:id="rId1"/>
  <tableParts count="1">
    <tablePart r:id="rId3"/>
  </tableParts>
</worksheet>
</file>